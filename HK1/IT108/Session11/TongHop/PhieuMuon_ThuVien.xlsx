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hub\PTIT-2026-2027\HK1\IT108\Stage11\TongHop\"/>
    </mc:Choice>
  </mc:AlternateContent>
  <xr:revisionPtr revIDLastSave="0" documentId="13_ncr:1_{7B1FD4B1-652C-497C-9172-E373A965F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ieuMuon" sheetId="1" r:id="rId1"/>
    <sheet name="DanhMucSach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</calcChain>
</file>

<file path=xl/sharedStrings.xml><?xml version="1.0" encoding="utf-8"?>
<sst xmlns="http://schemas.openxmlformats.org/spreadsheetml/2006/main" count="34" uniqueCount="28">
  <si>
    <t>MSSV</t>
  </si>
  <si>
    <t>Họ Tên</t>
  </si>
  <si>
    <t>Mã Sách</t>
  </si>
  <si>
    <t>Ngày Mượn</t>
  </si>
  <si>
    <t>Tình Trạng</t>
  </si>
  <si>
    <t>Tên Sách</t>
  </si>
  <si>
    <t>SV001</t>
  </si>
  <si>
    <t>SV002</t>
  </si>
  <si>
    <t>SV003</t>
  </si>
  <si>
    <t>SV004</t>
  </si>
  <si>
    <t>Nguyễn Văn An</t>
  </si>
  <si>
    <t>Trần Thị Bình</t>
  </si>
  <si>
    <t>Lê Văn Cường</t>
  </si>
  <si>
    <t>Phạm Thu Hà</t>
  </si>
  <si>
    <t>S001</t>
  </si>
  <si>
    <t>S002</t>
  </si>
  <si>
    <t>S003</t>
  </si>
  <si>
    <t>S099</t>
  </si>
  <si>
    <t>Đang mượn</t>
  </si>
  <si>
    <t>Quá hạn</t>
  </si>
  <si>
    <t>Đã trả</t>
  </si>
  <si>
    <t>Thể Loại</t>
  </si>
  <si>
    <t>Lập Trình C Căn Bản</t>
  </si>
  <si>
    <t>Giải Tích 1</t>
  </si>
  <si>
    <t>Kỹ Năng Mềm</t>
  </si>
  <si>
    <t>Công nghệ thông tin</t>
  </si>
  <si>
    <t>Toán học</t>
  </si>
  <si>
    <t>Kỹ năng sống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</si>
</sst>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nhMucSach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MucSach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J12" sqref="J12"/>
    </sheetView>
  </sheetViews>
  <sheetFormatPr defaultRowHeight="14.4" x14ac:dyDescent="0.3"/>
  <cols>
    <col min="2" max="2" width="13.33203125" bestFit="1" customWidth="1"/>
    <col min="4" max="4" width="11.21875" bestFit="1" customWidth="1"/>
    <col min="5" max="5" width="10.44140625" bestFit="1" customWidth="1"/>
    <col min="6" max="6" width="17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10</v>
      </c>
      <c r="C2" s="2" t="s">
        <v>14</v>
      </c>
      <c r="D2" s="3">
        <v>46296</v>
      </c>
      <c r="E2" s="2" t="s">
        <v>18</v>
      </c>
      <c r="F2" s="2" t="str">
        <f>IFERROR(VLOOKUP(C2,DanhMucSach!$A$2:$C$4,2,FALSE),"Không tìm thấy sách")</f>
        <v>Lập Trình C Căn Bản</v>
      </c>
    </row>
    <row r="3" spans="1:6" x14ac:dyDescent="0.3">
      <c r="A3" s="2" t="s">
        <v>7</v>
      </c>
      <c r="B3" s="2" t="s">
        <v>11</v>
      </c>
      <c r="C3" s="2" t="s">
        <v>15</v>
      </c>
      <c r="D3" s="3">
        <v>46298</v>
      </c>
      <c r="E3" s="2" t="s">
        <v>19</v>
      </c>
      <c r="F3" s="2" t="str">
        <f>IFERROR(VLOOKUP(C3,DanhMucSach!$A$2:$C$4,2,FALSE),"Không tìm thấy sách")</f>
        <v>Giải Tích 1</v>
      </c>
    </row>
    <row r="4" spans="1:6" x14ac:dyDescent="0.3">
      <c r="A4" s="2" t="s">
        <v>8</v>
      </c>
      <c r="B4" s="2" t="s">
        <v>12</v>
      </c>
      <c r="C4" s="2" t="s">
        <v>16</v>
      </c>
      <c r="D4" s="3">
        <v>46305</v>
      </c>
      <c r="E4" s="2" t="s">
        <v>20</v>
      </c>
      <c r="F4" s="2" t="str">
        <f>IFERROR(VLOOKUP(C4,[1]DanhMucSach!$A$2:$C$4,2,FALSE),"Không tìm thấy sách")</f>
        <v>Không tìm thấy sách</v>
      </c>
    </row>
    <row r="5" spans="1:6" x14ac:dyDescent="0.3">
      <c r="A5" s="2" t="s">
        <v>9</v>
      </c>
      <c r="B5" s="2" t="s">
        <v>13</v>
      </c>
      <c r="C5" s="2" t="s">
        <v>17</v>
      </c>
      <c r="D5" s="3">
        <v>46307</v>
      </c>
      <c r="E5" s="2" t="s">
        <v>18</v>
      </c>
      <c r="F5" s="2" t="str">
        <f>IFERROR(VLOOKUP(C5,[1]DanhMucSach!$A$2:$C$4,2,FALSE),"Không tìm thấy sách")</f>
        <v>Không tìm thấy sách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9743-F2F6-4015-8D73-E6073FA9146C}">
  <dimension ref="A1:C4"/>
  <sheetViews>
    <sheetView workbookViewId="0">
      <selection activeCell="E13" sqref="E13"/>
    </sheetView>
  </sheetViews>
  <sheetFormatPr defaultRowHeight="14.4" x14ac:dyDescent="0.3"/>
  <cols>
    <col min="2" max="3" width="17.33203125" bestFit="1" customWidth="1"/>
  </cols>
  <sheetData>
    <row r="1" spans="1:3" x14ac:dyDescent="0.3">
      <c r="A1" s="1" t="s">
        <v>2</v>
      </c>
      <c r="B1" s="1" t="s">
        <v>5</v>
      </c>
      <c r="C1" s="1" t="s">
        <v>21</v>
      </c>
    </row>
    <row r="2" spans="1:3" x14ac:dyDescent="0.3">
      <c r="A2" s="2" t="s">
        <v>14</v>
      </c>
      <c r="B2" s="2" t="s">
        <v>22</v>
      </c>
      <c r="C2" s="2" t="s">
        <v>25</v>
      </c>
    </row>
    <row r="3" spans="1:3" x14ac:dyDescent="0.3">
      <c r="A3" s="2" t="s">
        <v>15</v>
      </c>
      <c r="B3" s="2" t="s">
        <v>23</v>
      </c>
      <c r="C3" s="2" t="s">
        <v>26</v>
      </c>
    </row>
    <row r="4" spans="1:3" x14ac:dyDescent="0.3">
      <c r="A4" s="2" t="s">
        <v>16</v>
      </c>
      <c r="B4" s="2" t="s">
        <v>24</v>
      </c>
      <c r="C4" s="2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PhieuMuon</vt:lpstr>
      <vt:lpstr>DanhMucSach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Phạm</dc:creator>
  <cp:lastModifiedBy>Quang Phạm</cp:lastModifiedBy>
  <dcterms:created xsi:type="dcterms:W3CDTF">2015-06-05T18:17:20Z</dcterms:created>
  <dcterms:modified xsi:type="dcterms:W3CDTF">2026-10-20T05:00:19Z</dcterms:modified>
</cp:coreProperties>
</file>